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Planejamento Financeiro" sheetId="2" state="visible" r:id="rId2"/>
    <sheet xmlns:r="http://schemas.openxmlformats.org/officeDocument/2006/relationships" name="Indicadores de Viabilid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R$#,##0.00"/>
    <numFmt numFmtId="165" formatCode="0.0%"/>
    <numFmt numFmtId="166" formatCode="0.0&quot;x&quot;"/>
    <numFmt numFmtId="167" formatCode="R$#,##0;[Red](R$#,##0);&quot;-&quot;"/>
    <numFmt numFmtId="168" formatCode="0.0%;[Red](0.0%);&quot;-&quot;"/>
    <numFmt numFmtId="169" formatCode="0.1%"/>
  </numFmts>
  <fonts count="5">
    <font>
      <name val="Calibri"/>
      <family val="2"/>
      <color theme="1"/>
      <sz val="11"/>
      <scheme val="minor"/>
    </font>
    <font>
      <name val="Segoe UI"/>
      <b val="1"/>
      <color rgb="001F4E5B"/>
      <sz val="16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</fonts>
  <fills count="6">
    <fill>
      <patternFill/>
    </fill>
    <fill>
      <patternFill patternType="gray125"/>
    </fill>
    <fill>
      <patternFill patternType="solid">
        <fgColor rgb="001F4E5B"/>
        <bgColor rgb="001F4E5B"/>
      </patternFill>
    </fill>
    <fill>
      <patternFill patternType="solid">
        <fgColor rgb="00D1E1E4"/>
        <bgColor rgb="00D1E1E4"/>
      </patternFill>
    </fill>
    <fill>
      <patternFill patternType="solid">
        <fgColor rgb="00EBF2F4"/>
        <bgColor rgb="00EBF2F4"/>
      </patternFill>
    </fill>
    <fill>
      <patternFill patternType="solid">
        <fgColor rgb="00F7FAFA"/>
        <bgColor rgb="00F7FA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top style="thin">
        <color rgb="001F4E5B"/>
      </top>
      <bottom style="double">
        <color rgb="001F4E5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66" fontId="4" fillId="3" borderId="1" applyAlignment="1" pivotButton="0" quotePrefix="0" xfId="0">
      <alignment horizontal="right"/>
    </xf>
    <xf numFmtId="0" fontId="2" fillId="2" borderId="0" pivotButton="0" quotePrefix="0" xfId="0"/>
    <xf numFmtId="3" fontId="3" fillId="0" borderId="1" applyAlignment="1" pivotButton="0" quotePrefix="0" xfId="0">
      <alignment horizontal="right" vertical="center"/>
    </xf>
    <xf numFmtId="3" fontId="3" fillId="5" borderId="1" applyAlignment="1" pivotButton="0" quotePrefix="0" xfId="0">
      <alignment horizontal="right" vertical="center"/>
    </xf>
    <xf numFmtId="167" fontId="3" fillId="0" borderId="1" applyAlignment="1" pivotButton="0" quotePrefix="0" xfId="0">
      <alignment horizontal="right" vertical="center"/>
    </xf>
    <xf numFmtId="167" fontId="3" fillId="5" borderId="1" applyAlignment="1" pivotButton="0" quotePrefix="0" xfId="0">
      <alignment horizontal="right" vertical="center"/>
    </xf>
    <xf numFmtId="0" fontId="4" fillId="4" borderId="1" pivotButton="0" quotePrefix="0" xfId="0"/>
    <xf numFmtId="167" fontId="4" fillId="4" borderId="1" applyAlignment="1" pivotButton="0" quotePrefix="0" xfId="0">
      <alignment horizontal="right" vertical="center"/>
    </xf>
    <xf numFmtId="168" fontId="4" fillId="4" borderId="1" applyAlignment="1" pivotButton="0" quotePrefix="0" xfId="0">
      <alignment horizontal="right" vertical="center"/>
    </xf>
    <xf numFmtId="0" fontId="4" fillId="3" borderId="1" pivotButton="0" quotePrefix="0" xfId="0"/>
    <xf numFmtId="167" fontId="4" fillId="3" borderId="1" applyAlignment="1" pivotButton="0" quotePrefix="0" xfId="0">
      <alignment horizontal="right" vertical="center"/>
    </xf>
    <xf numFmtId="168" fontId="4" fillId="3" borderId="1" applyAlignment="1" pivotButton="0" quotePrefix="0" xfId="0">
      <alignment horizontal="right" vertical="center"/>
    </xf>
    <xf numFmtId="0" fontId="2" fillId="2" borderId="1" pivotButton="0" quotePrefix="0" xfId="0"/>
    <xf numFmtId="0" fontId="3" fillId="2" borderId="0" applyAlignment="1" pivotButton="0" quotePrefix="0" xfId="0">
      <alignment horizontal="right" vertical="center"/>
    </xf>
    <xf numFmtId="167" fontId="4" fillId="3" borderId="2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/>
    </xf>
    <xf numFmtId="0" fontId="4" fillId="0" borderId="1" pivotButton="0" quotePrefix="0" xfId="0"/>
    <xf numFmtId="164" fontId="4" fillId="3" borderId="1" applyAlignment="1" pivotButton="0" quotePrefix="0" xfId="0">
      <alignment horizontal="right"/>
    </xf>
    <xf numFmtId="169" fontId="4" fillId="3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75" customWidth="1" min="3" max="3"/>
  </cols>
  <sheetData>
    <row r="1" ht="35" customHeight="1">
      <c r="A1" s="1" t="inlineStr">
        <is>
          <t>Premissas do Modelo Financeiro - Nosso Momento</t>
        </is>
      </c>
    </row>
    <row r="3" ht="25" customHeight="1">
      <c r="A3" s="2" t="inlineStr">
        <is>
          <t>Métrica / Premissa</t>
        </is>
      </c>
      <c r="B3" s="3" t="inlineStr">
        <is>
          <t>Valor</t>
        </is>
      </c>
      <c r="C3" s="2" t="inlineStr">
        <is>
          <t>Descrição</t>
        </is>
      </c>
    </row>
    <row r="4" ht="20" customHeight="1">
      <c r="A4" s="4" t="inlineStr">
        <is>
          <t>Mensalidade VIP (R$)</t>
        </is>
      </c>
      <c r="B4" s="5" t="n">
        <v>14.99</v>
      </c>
      <c r="C4" s="4" t="inlineStr">
        <is>
          <t>Preço do plano recorrente mensal por casal</t>
        </is>
      </c>
    </row>
    <row r="5" ht="20" customHeight="1">
      <c r="A5" s="4" t="inlineStr">
        <is>
          <t>Taxa de Usuários Ativos (MAU)</t>
        </is>
      </c>
      <c r="B5" s="6" t="n">
        <v>0.5</v>
      </c>
      <c r="C5" s="4" t="inlineStr">
        <is>
          <t>Percentual da base total que interage mensalmente no app</t>
        </is>
      </c>
    </row>
    <row r="6" ht="20" customHeight="1">
      <c r="A6" s="4" t="inlineStr">
        <is>
          <t>Conversão VIP sobre Ativos</t>
        </is>
      </c>
      <c r="B6" s="6" t="n">
        <v>0.15</v>
      </c>
      <c r="C6" s="4" t="inlineStr">
        <is>
          <t>Percentual de usuários ativos que assinam o plano VIP</t>
        </is>
      </c>
    </row>
    <row r="7" ht="20" customHeight="1">
      <c r="A7" s="4" t="inlineStr">
        <is>
          <t>Taxa das Lojas (App Store/Play Store)</t>
        </is>
      </c>
      <c r="B7" s="6" t="n">
        <v>0.15</v>
      </c>
      <c r="C7" s="4" t="inlineStr">
        <is>
          <t>Comissão cobrada pelas lojas de aplicativos sobre as vendas</t>
        </is>
      </c>
    </row>
    <row r="8" ht="20" customHeight="1">
      <c r="A8" s="4" t="inlineStr">
        <is>
          <t>Receita por Parceiro/Patrocinador (R$)</t>
        </is>
      </c>
      <c r="B8" s="5" t="n">
        <v>300</v>
      </c>
      <c r="C8" s="4" t="inlineStr">
        <is>
          <t>Valor fixo mensal pago por cada marca/patrocinador plugado</t>
        </is>
      </c>
    </row>
    <row r="9" ht="20" customHeight="1">
      <c r="A9" s="4" t="inlineStr">
        <is>
          <t>Custo Legal Mensal (R$)</t>
        </is>
      </c>
      <c r="B9" s="5" t="n">
        <v>65</v>
      </c>
      <c r="C9" s="4" t="inlineStr">
        <is>
          <t>Custos fixos com contabilidade, taxas jurídicas e manutenção legal</t>
        </is>
      </c>
    </row>
    <row r="10" ht="20" customHeight="1">
      <c r="A10" s="4" t="inlineStr">
        <is>
          <t>Custo de Aquisição de Cliente - CAC (R$)</t>
        </is>
      </c>
      <c r="B10" s="5" t="n">
        <v>25</v>
      </c>
      <c r="C10" s="4" t="inlineStr">
        <is>
          <t>Investimento estimado de marketing para adquirir 1 usuário VIP</t>
        </is>
      </c>
    </row>
    <row r="11" ht="20" customHeight="1">
      <c r="A11" s="4" t="inlineStr">
        <is>
          <t>Tempo de Permanência Médio - Lifetime</t>
        </is>
      </c>
      <c r="B11" s="7" t="n">
        <v>12</v>
      </c>
      <c r="C11" s="4" t="inlineStr">
        <is>
          <t>Meses que um casal permanece como assinante VIP do app</t>
        </is>
      </c>
    </row>
    <row r="12" ht="20" customHeight="1">
      <c r="A12" s="4" t="inlineStr">
        <is>
          <t>Valor do Tempo de Vida - LTV (R$)</t>
        </is>
      </c>
      <c r="B12" s="8">
        <f>B4*B11</f>
        <v/>
      </c>
      <c r="C12" s="4" t="inlineStr">
        <is>
          <t>Receita total gerada por um cliente antes do Churn (Mensalidade * Lifetime)</t>
        </is>
      </c>
    </row>
    <row r="13" ht="20" customHeight="1">
      <c r="A13" s="4" t="inlineStr">
        <is>
          <t>Relação de Viabilidade (LTV / CAC)</t>
        </is>
      </c>
      <c r="B13" s="9">
        <f>B12/B10</f>
        <v/>
      </c>
      <c r="C13" s="4" t="inlineStr">
        <is>
          <t>Métrica de saúde digital. O ideal de mercado para viabilidade é ser &gt; 3.0x</t>
        </is>
      </c>
    </row>
    <row r="14" ht="20" customHeight="1">
      <c r="A14" s="4" t="inlineStr">
        <is>
          <t>Custo Médio p/ Micro-Influenciador (R$)</t>
        </is>
      </c>
      <c r="B14" s="5" t="n">
        <v>250</v>
      </c>
      <c r="C14" s="4" t="inlineStr">
        <is>
          <t>Custo médio por ação (Reels + Stories) para perfis de casais (10k-30k seg.)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7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5" customHeight="1">
      <c r="A1" s="1" t="inlineStr">
        <is>
          <t>Demonstração do Resultado (DRE) e Fluxo de Caixa - 24 Meses</t>
        </is>
      </c>
    </row>
    <row r="3">
      <c r="A3" s="10" t="inlineStr">
        <is>
          <t>Conta / Mês</t>
        </is>
      </c>
      <c r="B3" s="3" t="inlineStr">
        <is>
          <t>M1</t>
        </is>
      </c>
      <c r="C3" s="3" t="inlineStr">
        <is>
          <t>M2</t>
        </is>
      </c>
      <c r="D3" s="3" t="inlineStr">
        <is>
          <t>M3</t>
        </is>
      </c>
      <c r="E3" s="3" t="inlineStr">
        <is>
          <t>M4</t>
        </is>
      </c>
      <c r="F3" s="3" t="inlineStr">
        <is>
          <t>M5</t>
        </is>
      </c>
      <c r="G3" s="3" t="inlineStr">
        <is>
          <t>M6</t>
        </is>
      </c>
      <c r="H3" s="3" t="inlineStr">
        <is>
          <t>M7</t>
        </is>
      </c>
      <c r="I3" s="3" t="inlineStr">
        <is>
          <t>M8</t>
        </is>
      </c>
      <c r="J3" s="3" t="inlineStr">
        <is>
          <t>M9</t>
        </is>
      </c>
      <c r="K3" s="3" t="inlineStr">
        <is>
          <t>M10</t>
        </is>
      </c>
      <c r="L3" s="3" t="inlineStr">
        <is>
          <t>M11</t>
        </is>
      </c>
      <c r="M3" s="3" t="inlineStr">
        <is>
          <t>M12</t>
        </is>
      </c>
      <c r="N3" s="3" t="inlineStr">
        <is>
          <t>M13</t>
        </is>
      </c>
      <c r="O3" s="3" t="inlineStr">
        <is>
          <t>M14</t>
        </is>
      </c>
      <c r="P3" s="3" t="inlineStr">
        <is>
          <t>M15</t>
        </is>
      </c>
      <c r="Q3" s="3" t="inlineStr">
        <is>
          <t>M16</t>
        </is>
      </c>
      <c r="R3" s="3" t="inlineStr">
        <is>
          <t>M17</t>
        </is>
      </c>
      <c r="S3" s="3" t="inlineStr">
        <is>
          <t>M18</t>
        </is>
      </c>
      <c r="T3" s="3" t="inlineStr">
        <is>
          <t>M19</t>
        </is>
      </c>
      <c r="U3" s="3" t="inlineStr">
        <is>
          <t>M20</t>
        </is>
      </c>
      <c r="V3" s="3" t="inlineStr">
        <is>
          <t>M21</t>
        </is>
      </c>
      <c r="W3" s="3" t="inlineStr">
        <is>
          <t>M22</t>
        </is>
      </c>
      <c r="X3" s="3" t="inlineStr">
        <is>
          <t>M23</t>
        </is>
      </c>
      <c r="Y3" s="3" t="inlineStr">
        <is>
          <t>M24</t>
        </is>
      </c>
    </row>
    <row r="4" ht="22" customHeight="1">
      <c r="A4" s="4" t="inlineStr">
        <is>
          <t>Base Total (Qtde)</t>
        </is>
      </c>
      <c r="B4" s="11" t="n">
        <v>50</v>
      </c>
      <c r="C4" s="12" t="n">
        <v>65</v>
      </c>
      <c r="D4" s="11" t="n">
        <v>80</v>
      </c>
      <c r="E4" s="12" t="n">
        <v>100</v>
      </c>
      <c r="F4" s="11" t="n">
        <v>120</v>
      </c>
      <c r="G4" s="12" t="n">
        <v>145</v>
      </c>
      <c r="H4" s="11" t="n">
        <v>175</v>
      </c>
      <c r="I4" s="12" t="n">
        <v>210</v>
      </c>
      <c r="J4" s="11" t="n">
        <v>250</v>
      </c>
      <c r="K4" s="12" t="n">
        <v>290</v>
      </c>
      <c r="L4" s="11" t="n">
        <v>330</v>
      </c>
      <c r="M4" s="12" t="n">
        <v>375</v>
      </c>
      <c r="N4" s="11" t="n">
        <v>420</v>
      </c>
      <c r="O4" s="12" t="n">
        <v>470</v>
      </c>
      <c r="P4" s="11" t="n">
        <v>5375</v>
      </c>
      <c r="Q4" s="12" t="n">
        <v>5500</v>
      </c>
      <c r="R4" s="11" t="n">
        <v>5650</v>
      </c>
      <c r="S4" s="12" t="n">
        <v>5800</v>
      </c>
      <c r="T4" s="11" t="n">
        <v>6000</v>
      </c>
      <c r="U4" s="12" t="n">
        <v>6200</v>
      </c>
      <c r="V4" s="11" t="n">
        <v>6500</v>
      </c>
      <c r="W4" s="12" t="n">
        <v>6800</v>
      </c>
      <c r="X4" s="11" t="n">
        <v>7100</v>
      </c>
      <c r="Y4" s="12" t="n">
        <v>7500</v>
      </c>
    </row>
    <row r="5" ht="22" customHeight="1">
      <c r="A5" s="4" t="inlineStr">
        <is>
          <t>Base Ativa (Qtde)</t>
        </is>
      </c>
      <c r="B5" s="11">
        <f>ROUND(B4*Premissas!$B$5,0)</f>
        <v/>
      </c>
      <c r="C5" s="12">
        <f>ROUND(C4*Premissas!$B$5,0)</f>
        <v/>
      </c>
      <c r="D5" s="11">
        <f>ROUND(D4*Premissas!$B$5,0)</f>
        <v/>
      </c>
      <c r="E5" s="12">
        <f>ROUND(E4*Premissas!$B$5,0)</f>
        <v/>
      </c>
      <c r="F5" s="11">
        <f>ROUND(F4*Premissas!$B$5,0)</f>
        <v/>
      </c>
      <c r="G5" s="12">
        <f>ROUND(G4*Premissas!$B$5,0)</f>
        <v/>
      </c>
      <c r="H5" s="11">
        <f>ROUND(H4*Premissas!$B$5,0)</f>
        <v/>
      </c>
      <c r="I5" s="12">
        <f>ROUND(I4*Premissas!$B$5,0)</f>
        <v/>
      </c>
      <c r="J5" s="11">
        <f>ROUND(J4*Premissas!$B$5,0)</f>
        <v/>
      </c>
      <c r="K5" s="12">
        <f>ROUND(K4*Premissas!$B$5,0)</f>
        <v/>
      </c>
      <c r="L5" s="11">
        <f>ROUND(L4*Premissas!$B$5,0)</f>
        <v/>
      </c>
      <c r="M5" s="12">
        <f>ROUND(M4*Premissas!$B$5,0)</f>
        <v/>
      </c>
      <c r="N5" s="11">
        <f>ROUND(N4*Premissas!$B$5,0)</f>
        <v/>
      </c>
      <c r="O5" s="12">
        <f>ROUND(O4*Premissas!$B$5,0)</f>
        <v/>
      </c>
      <c r="P5" s="11">
        <f>ROUND(P4*Premissas!$B$5,0)</f>
        <v/>
      </c>
      <c r="Q5" s="12">
        <f>ROUND(Q4*Premissas!$B$5,0)</f>
        <v/>
      </c>
      <c r="R5" s="11">
        <f>ROUND(R4*Premissas!$B$5,0)</f>
        <v/>
      </c>
      <c r="S5" s="12">
        <f>ROUND(S4*Premissas!$B$5,0)</f>
        <v/>
      </c>
      <c r="T5" s="11">
        <f>ROUND(T4*Premissas!$B$5,0)</f>
        <v/>
      </c>
      <c r="U5" s="12">
        <f>ROUND(U4*Premissas!$B$5,0)</f>
        <v/>
      </c>
      <c r="V5" s="11">
        <f>ROUND(V4*Premissas!$B$5,0)</f>
        <v/>
      </c>
      <c r="W5" s="12">
        <f>ROUND(W4*Premissas!$B$5,0)</f>
        <v/>
      </c>
      <c r="X5" s="11">
        <f>ROUND(X4*Premissas!$B$5,0)</f>
        <v/>
      </c>
      <c r="Y5" s="12">
        <f>ROUND(Y4*Premissas!$B$5,0)</f>
        <v/>
      </c>
    </row>
    <row r="6" ht="22" customHeight="1">
      <c r="A6" s="4" t="inlineStr">
        <is>
          <t>Usuários VIP (Qtde)</t>
        </is>
      </c>
      <c r="B6" s="11">
        <f>ROUND(B5*Premissas!$B$6,0)</f>
        <v/>
      </c>
      <c r="C6" s="12">
        <f>ROUND(C5*Premissas!$B$6,0)</f>
        <v/>
      </c>
      <c r="D6" s="11">
        <f>ROUND(D5*Premissas!$B$6,0)</f>
        <v/>
      </c>
      <c r="E6" s="12">
        <f>ROUND(E5*Premissas!$B$6,0)</f>
        <v/>
      </c>
      <c r="F6" s="11">
        <f>ROUND(F5*Premissas!$B$6,0)</f>
        <v/>
      </c>
      <c r="G6" s="12">
        <f>ROUND(G5*Premissas!$B$6,0)</f>
        <v/>
      </c>
      <c r="H6" s="11">
        <f>ROUND(H5*Premissas!$B$6,0)</f>
        <v/>
      </c>
      <c r="I6" s="12">
        <f>ROUND(I5*Premissas!$B$6,0)</f>
        <v/>
      </c>
      <c r="J6" s="11">
        <f>ROUND(J5*Premissas!$B$6,0)</f>
        <v/>
      </c>
      <c r="K6" s="12">
        <f>ROUND(K5*Premissas!$B$6,0)</f>
        <v/>
      </c>
      <c r="L6" s="11">
        <f>ROUND(L5*Premissas!$B$6,0)</f>
        <v/>
      </c>
      <c r="M6" s="12">
        <f>ROUND(M5*Premissas!$B$6,0)</f>
        <v/>
      </c>
      <c r="N6" s="11">
        <f>ROUND(N5*Premissas!$B$6,0)</f>
        <v/>
      </c>
      <c r="O6" s="12">
        <f>ROUND(O5*Premissas!$B$6,0)</f>
        <v/>
      </c>
      <c r="P6" s="11">
        <f>ROUND(P5*Premissas!$B$6,0)</f>
        <v/>
      </c>
      <c r="Q6" s="12">
        <f>ROUND(Q5*Premissas!$B$6,0)</f>
        <v/>
      </c>
      <c r="R6" s="11">
        <f>ROUND(R5*Premissas!$B$6,0)</f>
        <v/>
      </c>
      <c r="S6" s="12">
        <f>ROUND(S5*Premissas!$B$6,0)</f>
        <v/>
      </c>
      <c r="T6" s="11">
        <f>ROUND(T5*Premissas!$B$6,0)</f>
        <v/>
      </c>
      <c r="U6" s="12">
        <f>ROUND(U5*Premissas!$B$6,0)</f>
        <v/>
      </c>
      <c r="V6" s="11">
        <f>ROUND(V5*Premissas!$B$6,0)</f>
        <v/>
      </c>
      <c r="W6" s="12">
        <f>ROUND(W5*Premissas!$B$6,0)</f>
        <v/>
      </c>
      <c r="X6" s="11">
        <f>ROUND(X5*Premissas!$B$6,0)</f>
        <v/>
      </c>
      <c r="Y6" s="12">
        <f>ROUND(Y5*Premissas!$B$6,0)</f>
        <v/>
      </c>
    </row>
    <row r="7" ht="22" customHeight="1">
      <c r="A7" s="4" t="inlineStr">
        <is>
          <t>Parceiros Ativos (Qtde)</t>
        </is>
      </c>
      <c r="B7" s="11" t="n">
        <v>0</v>
      </c>
      <c r="C7" s="12" t="n">
        <v>0</v>
      </c>
      <c r="D7" s="11" t="n">
        <v>0</v>
      </c>
      <c r="E7" s="12" t="n">
        <v>0</v>
      </c>
      <c r="F7" s="11" t="n">
        <v>0</v>
      </c>
      <c r="G7" s="12" t="n">
        <v>0</v>
      </c>
      <c r="H7" s="11" t="n">
        <v>2</v>
      </c>
      <c r="I7" s="12" t="n">
        <v>2</v>
      </c>
      <c r="J7" s="11" t="n">
        <v>2</v>
      </c>
      <c r="K7" s="12" t="n">
        <v>3</v>
      </c>
      <c r="L7" s="11" t="n">
        <v>3</v>
      </c>
      <c r="M7" s="12" t="n">
        <v>3</v>
      </c>
      <c r="N7" s="11" t="n">
        <v>3</v>
      </c>
      <c r="O7" s="12" t="n">
        <v>4</v>
      </c>
      <c r="P7" s="11" t="n">
        <v>4</v>
      </c>
      <c r="Q7" s="12" t="n">
        <v>4</v>
      </c>
      <c r="R7" s="11" t="n">
        <v>4</v>
      </c>
      <c r="S7" s="12" t="n">
        <v>4</v>
      </c>
      <c r="T7" s="11" t="n">
        <v>4</v>
      </c>
      <c r="U7" s="12" t="n">
        <v>4</v>
      </c>
      <c r="V7" s="11" t="n">
        <v>4</v>
      </c>
      <c r="W7" s="12" t="n">
        <v>4</v>
      </c>
      <c r="X7" s="11" t="n">
        <v>4</v>
      </c>
      <c r="Y7" s="12" t="n">
        <v>4</v>
      </c>
    </row>
    <row r="8" ht="22" customHeight="1">
      <c r="A8" s="4" t="inlineStr">
        <is>
          <t>(+) Receita VIP (R$)</t>
        </is>
      </c>
      <c r="B8" s="13">
        <f>B6*Premissas!$B$4</f>
        <v/>
      </c>
      <c r="C8" s="14">
        <f>C6*Premissas!$B$4</f>
        <v/>
      </c>
      <c r="D8" s="13">
        <f>D6*Premissas!$B$4</f>
        <v/>
      </c>
      <c r="E8" s="14">
        <f>E6*Premissas!$B$4</f>
        <v/>
      </c>
      <c r="F8" s="13">
        <f>F6*Premissas!$B$4</f>
        <v/>
      </c>
      <c r="G8" s="14">
        <f>G6*Premissas!$B$4</f>
        <v/>
      </c>
      <c r="H8" s="13">
        <f>H6*Premissas!$B$4</f>
        <v/>
      </c>
      <c r="I8" s="14">
        <f>I6*Premissas!$B$4</f>
        <v/>
      </c>
      <c r="J8" s="13">
        <f>J6*Premissas!$B$4</f>
        <v/>
      </c>
      <c r="K8" s="14">
        <f>K6*Premissas!$B$4</f>
        <v/>
      </c>
      <c r="L8" s="13">
        <f>L6*Premissas!$B$4</f>
        <v/>
      </c>
      <c r="M8" s="14">
        <f>M6*Premissas!$B$4</f>
        <v/>
      </c>
      <c r="N8" s="13">
        <f>N6*Premissas!$B$4</f>
        <v/>
      </c>
      <c r="O8" s="14">
        <f>O6*Premissas!$B$4</f>
        <v/>
      </c>
      <c r="P8" s="13">
        <f>P6*Premissas!$B$4</f>
        <v/>
      </c>
      <c r="Q8" s="14">
        <f>Q6*Premissas!$B$4</f>
        <v/>
      </c>
      <c r="R8" s="13">
        <f>R6*Premissas!$B$4</f>
        <v/>
      </c>
      <c r="S8" s="14">
        <f>S6*Premissas!$B$4</f>
        <v/>
      </c>
      <c r="T8" s="13">
        <f>T6*Premissas!$B$4</f>
        <v/>
      </c>
      <c r="U8" s="14">
        <f>U6*Premissas!$B$4</f>
        <v/>
      </c>
      <c r="V8" s="13">
        <f>V6*Premissas!$B$4</f>
        <v/>
      </c>
      <c r="W8" s="14">
        <f>W6*Premissas!$B$4</f>
        <v/>
      </c>
      <c r="X8" s="13">
        <f>X6*Premissas!$B$4</f>
        <v/>
      </c>
      <c r="Y8" s="14">
        <f>Y6*Premissas!$B$4</f>
        <v/>
      </c>
    </row>
    <row r="9" ht="22" customHeight="1">
      <c r="A9" s="4" t="inlineStr">
        <is>
          <t>(+) Receita Parceiros (R$)</t>
        </is>
      </c>
      <c r="B9" s="13">
        <f>B7*Premissas!$B$8</f>
        <v/>
      </c>
      <c r="C9" s="14">
        <f>C7*Premissas!$B$8</f>
        <v/>
      </c>
      <c r="D9" s="13">
        <f>D7*Premissas!$B$8</f>
        <v/>
      </c>
      <c r="E9" s="14">
        <f>E7*Premissas!$B$8</f>
        <v/>
      </c>
      <c r="F9" s="13">
        <f>F7*Premissas!$B$8</f>
        <v/>
      </c>
      <c r="G9" s="14">
        <f>G7*Premissas!$B$8</f>
        <v/>
      </c>
      <c r="H9" s="13">
        <f>H7*Premissas!$B$8</f>
        <v/>
      </c>
      <c r="I9" s="14">
        <f>I7*Premissas!$B$8</f>
        <v/>
      </c>
      <c r="J9" s="13">
        <f>J7*Premissas!$B$8</f>
        <v/>
      </c>
      <c r="K9" s="14">
        <f>K7*Premissas!$B$8</f>
        <v/>
      </c>
      <c r="L9" s="13">
        <f>L7*Premissas!$B$8</f>
        <v/>
      </c>
      <c r="M9" s="14">
        <f>M7*Premissas!$B$8</f>
        <v/>
      </c>
      <c r="N9" s="13">
        <f>N7*Premissas!$B$8</f>
        <v/>
      </c>
      <c r="O9" s="14">
        <f>O7*Premissas!$B$8</f>
        <v/>
      </c>
      <c r="P9" s="13">
        <f>P7*Premissas!$B$8</f>
        <v/>
      </c>
      <c r="Q9" s="14">
        <f>Q7*Premissas!$B$8</f>
        <v/>
      </c>
      <c r="R9" s="13">
        <f>R7*Premissas!$B$8</f>
        <v/>
      </c>
      <c r="S9" s="14">
        <f>S7*Premissas!$B$8</f>
        <v/>
      </c>
      <c r="T9" s="13">
        <f>T7*Premissas!$B$8</f>
        <v/>
      </c>
      <c r="U9" s="14">
        <f>U7*Premissas!$B$8</f>
        <v/>
      </c>
      <c r="V9" s="13">
        <f>V7*Premissas!$B$8</f>
        <v/>
      </c>
      <c r="W9" s="14">
        <f>W7*Premissas!$B$8</f>
        <v/>
      </c>
      <c r="X9" s="13">
        <f>X7*Premissas!$B$8</f>
        <v/>
      </c>
      <c r="Y9" s="14">
        <f>Y7*Premissas!$B$8</f>
        <v/>
      </c>
    </row>
    <row r="10" ht="22" customHeight="1">
      <c r="A10" s="15" t="inlineStr">
        <is>
          <t>(=) Receita Bruta (R$)</t>
        </is>
      </c>
      <c r="B10" s="16">
        <f>SUM(B8:B9)</f>
        <v/>
      </c>
      <c r="C10" s="16">
        <f>SUM(C8:C9)</f>
        <v/>
      </c>
      <c r="D10" s="16">
        <f>SUM(D8:D9)</f>
        <v/>
      </c>
      <c r="E10" s="16">
        <f>SUM(E8:E9)</f>
        <v/>
      </c>
      <c r="F10" s="16">
        <f>SUM(F8:F9)</f>
        <v/>
      </c>
      <c r="G10" s="16">
        <f>SUM(G8:G9)</f>
        <v/>
      </c>
      <c r="H10" s="16">
        <f>SUM(H8:H9)</f>
        <v/>
      </c>
      <c r="I10" s="16">
        <f>SUM(I8:I9)</f>
        <v/>
      </c>
      <c r="J10" s="16">
        <f>SUM(J8:J9)</f>
        <v/>
      </c>
      <c r="K10" s="16">
        <f>SUM(K8:K9)</f>
        <v/>
      </c>
      <c r="L10" s="16">
        <f>SUM(L8:L9)</f>
        <v/>
      </c>
      <c r="M10" s="16">
        <f>SUM(M8:M9)</f>
        <v/>
      </c>
      <c r="N10" s="16">
        <f>SUM(N8:N9)</f>
        <v/>
      </c>
      <c r="O10" s="16">
        <f>SUM(O8:O9)</f>
        <v/>
      </c>
      <c r="P10" s="16">
        <f>SUM(P8:P9)</f>
        <v/>
      </c>
      <c r="Q10" s="16">
        <f>SUM(Q8:Q9)</f>
        <v/>
      </c>
      <c r="R10" s="16">
        <f>SUM(R8:R9)</f>
        <v/>
      </c>
      <c r="S10" s="16">
        <f>SUM(S8:S9)</f>
        <v/>
      </c>
      <c r="T10" s="16">
        <f>SUM(T8:T9)</f>
        <v/>
      </c>
      <c r="U10" s="16">
        <f>SUM(U8:U9)</f>
        <v/>
      </c>
      <c r="V10" s="16">
        <f>SUM(V8:V9)</f>
        <v/>
      </c>
      <c r="W10" s="16">
        <f>SUM(W8:W9)</f>
        <v/>
      </c>
      <c r="X10" s="16">
        <f>SUM(X8:X9)</f>
        <v/>
      </c>
      <c r="Y10" s="16">
        <f>SUM(Y8:Y9)</f>
        <v/>
      </c>
    </row>
    <row r="11" ht="22" customHeight="1">
      <c r="A11" s="4" t="inlineStr">
        <is>
          <t>(-) Taxas Loja (R$)</t>
        </is>
      </c>
      <c r="B11" s="13">
        <f>-1*(B10*Premissas!$B$7)</f>
        <v/>
      </c>
      <c r="C11" s="14">
        <f>-1*(C10*Premissas!$B$7)</f>
        <v/>
      </c>
      <c r="D11" s="13">
        <f>-1*(D10*Premissas!$B$7)</f>
        <v/>
      </c>
      <c r="E11" s="14">
        <f>-1*(E10*Premissas!$B$7)</f>
        <v/>
      </c>
      <c r="F11" s="13">
        <f>-1*(F10*Premissas!$B$7)</f>
        <v/>
      </c>
      <c r="G11" s="14">
        <f>-1*(G10*Premissas!$B$7)</f>
        <v/>
      </c>
      <c r="H11" s="13">
        <f>-1*(H10*Premissas!$B$7)</f>
        <v/>
      </c>
      <c r="I11" s="14">
        <f>-1*(I10*Premissas!$B$7)</f>
        <v/>
      </c>
      <c r="J11" s="13">
        <f>-1*(J10*Premissas!$B$7)</f>
        <v/>
      </c>
      <c r="K11" s="14">
        <f>-1*(K10*Premissas!$B$7)</f>
        <v/>
      </c>
      <c r="L11" s="13">
        <f>-1*(L10*Premissas!$B$7)</f>
        <v/>
      </c>
      <c r="M11" s="14">
        <f>-1*(M10*Premissas!$B$7)</f>
        <v/>
      </c>
      <c r="N11" s="13">
        <f>-1*(N10*Premissas!$B$7)</f>
        <v/>
      </c>
      <c r="O11" s="14">
        <f>-1*(O10*Premissas!$B$7)</f>
        <v/>
      </c>
      <c r="P11" s="13">
        <f>-1*(P10*Premissas!$B$7)</f>
        <v/>
      </c>
      <c r="Q11" s="14">
        <f>-1*(Q10*Premissas!$B$7)</f>
        <v/>
      </c>
      <c r="R11" s="13">
        <f>-1*(R10*Premissas!$B$7)</f>
        <v/>
      </c>
      <c r="S11" s="14">
        <f>-1*(S10*Premissas!$B$7)</f>
        <v/>
      </c>
      <c r="T11" s="13">
        <f>-1*(T10*Premissas!$B$7)</f>
        <v/>
      </c>
      <c r="U11" s="14">
        <f>-1*(U10*Premissas!$B$7)</f>
        <v/>
      </c>
      <c r="V11" s="13">
        <f>-1*(V10*Premissas!$B$7)</f>
        <v/>
      </c>
      <c r="W11" s="14">
        <f>-1*(W10*Premissas!$B$7)</f>
        <v/>
      </c>
      <c r="X11" s="13">
        <f>-1*(X10*Premissas!$B$7)</f>
        <v/>
      </c>
      <c r="Y11" s="14">
        <f>-1*(Y10*Premissas!$B$7)</f>
        <v/>
      </c>
    </row>
    <row r="12" ht="22" customHeight="1">
      <c r="A12" s="15" t="inlineStr">
        <is>
          <t>(=) Receita Líquida (R$)</t>
        </is>
      </c>
      <c r="B12" s="16">
        <f>B10+B11</f>
        <v/>
      </c>
      <c r="C12" s="16">
        <f>C10+C11</f>
        <v/>
      </c>
      <c r="D12" s="16">
        <f>D10+D11</f>
        <v/>
      </c>
      <c r="E12" s="16">
        <f>E10+E11</f>
        <v/>
      </c>
      <c r="F12" s="16">
        <f>F10+F11</f>
        <v/>
      </c>
      <c r="G12" s="16">
        <f>G10+G11</f>
        <v/>
      </c>
      <c r="H12" s="16">
        <f>H10+H11</f>
        <v/>
      </c>
      <c r="I12" s="16">
        <f>I10+I11</f>
        <v/>
      </c>
      <c r="J12" s="16">
        <f>J10+J11</f>
        <v/>
      </c>
      <c r="K12" s="16">
        <f>K10+K11</f>
        <v/>
      </c>
      <c r="L12" s="16">
        <f>L10+L11</f>
        <v/>
      </c>
      <c r="M12" s="16">
        <f>M10+M11</f>
        <v/>
      </c>
      <c r="N12" s="16">
        <f>N10+N11</f>
        <v/>
      </c>
      <c r="O12" s="16">
        <f>O10+O11</f>
        <v/>
      </c>
      <c r="P12" s="16">
        <f>P10+P11</f>
        <v/>
      </c>
      <c r="Q12" s="16">
        <f>Q10+Q11</f>
        <v/>
      </c>
      <c r="R12" s="16">
        <f>R10+R11</f>
        <v/>
      </c>
      <c r="S12" s="16">
        <f>S10+S11</f>
        <v/>
      </c>
      <c r="T12" s="16">
        <f>T10+T11</f>
        <v/>
      </c>
      <c r="U12" s="16">
        <f>U10+U11</f>
        <v/>
      </c>
      <c r="V12" s="16">
        <f>V10+V11</f>
        <v/>
      </c>
      <c r="W12" s="16">
        <f>W10+W11</f>
        <v/>
      </c>
      <c r="X12" s="16">
        <f>X10+X11</f>
        <v/>
      </c>
      <c r="Y12" s="16">
        <f>Y10+Y11</f>
        <v/>
      </c>
    </row>
    <row r="13" ht="22" customHeight="1">
      <c r="A13" s="4" t="inlineStr">
        <is>
          <t>(-) Infraestrutura (R$)</t>
        </is>
      </c>
      <c r="B13" s="13" t="n">
        <v>-150</v>
      </c>
      <c r="C13" s="14" t="n">
        <v>-150</v>
      </c>
      <c r="D13" s="13" t="n">
        <v>-150</v>
      </c>
      <c r="E13" s="14" t="n">
        <v>-150</v>
      </c>
      <c r="F13" s="13" t="n">
        <v>-150</v>
      </c>
      <c r="G13" s="14" t="n">
        <v>-150</v>
      </c>
      <c r="H13" s="13" t="n">
        <v>-150</v>
      </c>
      <c r="I13" s="14" t="n">
        <v>-150</v>
      </c>
      <c r="J13" s="13" t="n">
        <v>-150</v>
      </c>
      <c r="K13" s="14" t="n">
        <v>-200</v>
      </c>
      <c r="L13" s="13" t="n">
        <v>-200</v>
      </c>
      <c r="M13" s="14" t="n">
        <v>-250</v>
      </c>
      <c r="N13" s="13" t="n">
        <v>-250</v>
      </c>
      <c r="O13" s="14" t="n">
        <v>-300</v>
      </c>
      <c r="P13" s="13" t="n">
        <v>-800</v>
      </c>
      <c r="Q13" s="14" t="n">
        <v>-800</v>
      </c>
      <c r="R13" s="13" t="n">
        <v>-800</v>
      </c>
      <c r="S13" s="14" t="n">
        <v>-800</v>
      </c>
      <c r="T13" s="13" t="n">
        <v>-1000</v>
      </c>
      <c r="U13" s="14" t="n">
        <v>-1000</v>
      </c>
      <c r="V13" s="13" t="n">
        <v>-1000</v>
      </c>
      <c r="W13" s="14" t="n">
        <v>-1200</v>
      </c>
      <c r="X13" s="13" t="n">
        <v>-1200</v>
      </c>
      <c r="Y13" s="14" t="n">
        <v>-1200</v>
      </c>
    </row>
    <row r="14" ht="22" customHeight="1">
      <c r="A14" s="4" t="inlineStr">
        <is>
          <t>(-) Tráfego Pago (R$)</t>
        </is>
      </c>
      <c r="B14" s="13" t="n">
        <v>-500</v>
      </c>
      <c r="C14" s="14" t="n">
        <v>-600</v>
      </c>
      <c r="D14" s="13" t="n">
        <v>-700</v>
      </c>
      <c r="E14" s="14" t="n">
        <v>-800</v>
      </c>
      <c r="F14" s="13" t="n">
        <v>-900</v>
      </c>
      <c r="G14" s="14" t="n">
        <v>-1000</v>
      </c>
      <c r="H14" s="13" t="n">
        <v>-1000</v>
      </c>
      <c r="I14" s="14" t="n">
        <v>-1100</v>
      </c>
      <c r="J14" s="13" t="n">
        <v>-1210</v>
      </c>
      <c r="K14" s="14" t="n">
        <v>-1331</v>
      </c>
      <c r="L14" s="13" t="n">
        <v>-1464</v>
      </c>
      <c r="M14" s="14" t="n">
        <v>-1610</v>
      </c>
      <c r="N14" s="13" t="n">
        <v>-1771</v>
      </c>
      <c r="O14" s="14" t="n">
        <v>-1948</v>
      </c>
      <c r="P14" s="13" t="n">
        <v>-2000</v>
      </c>
      <c r="Q14" s="14" t="n">
        <v>-2000</v>
      </c>
      <c r="R14" s="13" t="n">
        <v>-2000</v>
      </c>
      <c r="S14" s="14" t="n">
        <v>-2000</v>
      </c>
      <c r="T14" s="13" t="n">
        <v>-2000</v>
      </c>
      <c r="U14" s="14" t="n">
        <v>-2000</v>
      </c>
      <c r="V14" s="13" t="n">
        <v>-2000</v>
      </c>
      <c r="W14" s="14" t="n">
        <v>-2000</v>
      </c>
      <c r="X14" s="13" t="n">
        <v>-2000</v>
      </c>
      <c r="Y14" s="14" t="n">
        <v>-2000</v>
      </c>
    </row>
    <row r="15" ht="22" customHeight="1">
      <c r="A15" s="4" t="inlineStr">
        <is>
          <t>(-) Micro-influenciadores (R$)</t>
        </is>
      </c>
      <c r="B15" s="13" t="n">
        <v>0</v>
      </c>
      <c r="C15" s="14" t="n">
        <v>0</v>
      </c>
      <c r="D15" s="13" t="n">
        <v>-250</v>
      </c>
      <c r="E15" s="14" t="n">
        <v>-250</v>
      </c>
      <c r="F15" s="13" t="n">
        <v>-250</v>
      </c>
      <c r="G15" s="14" t="n">
        <v>-250</v>
      </c>
      <c r="H15" s="13" t="n">
        <v>-250</v>
      </c>
      <c r="I15" s="14" t="n">
        <v>-250</v>
      </c>
      <c r="J15" s="13" t="n">
        <v>-250</v>
      </c>
      <c r="K15" s="14" t="n">
        <v>-250</v>
      </c>
      <c r="L15" s="13" t="n">
        <v>-250</v>
      </c>
      <c r="M15" s="14" t="n">
        <v>-250</v>
      </c>
      <c r="N15" s="13" t="n">
        <v>-500</v>
      </c>
      <c r="O15" s="14" t="n">
        <v>-500</v>
      </c>
      <c r="P15" s="13" t="n">
        <v>-500</v>
      </c>
      <c r="Q15" s="14" t="n">
        <v>-500</v>
      </c>
      <c r="R15" s="13" t="n">
        <v>-500</v>
      </c>
      <c r="S15" s="14" t="n">
        <v>-500</v>
      </c>
      <c r="T15" s="13" t="n">
        <v>-500</v>
      </c>
      <c r="U15" s="14" t="n">
        <v>-500</v>
      </c>
      <c r="V15" s="13" t="n">
        <v>-500</v>
      </c>
      <c r="W15" s="14" t="n">
        <v>-500</v>
      </c>
      <c r="X15" s="13" t="n">
        <v>-500</v>
      </c>
      <c r="Y15" s="14" t="n">
        <v>-500</v>
      </c>
    </row>
    <row r="16" ht="22" customHeight="1">
      <c r="A16" s="4" t="inlineStr">
        <is>
          <t>(-) Custos Legais (R$)</t>
        </is>
      </c>
      <c r="B16" s="13">
        <f>-1*Premissas!$B$9</f>
        <v/>
      </c>
      <c r="C16" s="14">
        <f>-1*Premissas!$B$9</f>
        <v/>
      </c>
      <c r="D16" s="13">
        <f>-1*Premissas!$B$9</f>
        <v/>
      </c>
      <c r="E16" s="14">
        <f>-1*Premissas!$B$9</f>
        <v/>
      </c>
      <c r="F16" s="13">
        <f>-1*Premissas!$B$9</f>
        <v/>
      </c>
      <c r="G16" s="14">
        <f>-1*Premissas!$B$9</f>
        <v/>
      </c>
      <c r="H16" s="13">
        <f>-1*Premissas!$B$9</f>
        <v/>
      </c>
      <c r="I16" s="14">
        <f>-1*Premissas!$B$9</f>
        <v/>
      </c>
      <c r="J16" s="13">
        <f>-1*Premissas!$B$9</f>
        <v/>
      </c>
      <c r="K16" s="14">
        <f>-1*Premissas!$B$9</f>
        <v/>
      </c>
      <c r="L16" s="13">
        <f>-1*Premissas!$B$9</f>
        <v/>
      </c>
      <c r="M16" s="14">
        <f>-1*Premissas!$B$9</f>
        <v/>
      </c>
      <c r="N16" s="13">
        <f>-1*Premissas!$B$9</f>
        <v/>
      </c>
      <c r="O16" s="14">
        <f>-1*Premissas!$B$9</f>
        <v/>
      </c>
      <c r="P16" s="13">
        <f>-1*Premissas!$B$9</f>
        <v/>
      </c>
      <c r="Q16" s="14">
        <f>-1*Premissas!$B$9</f>
        <v/>
      </c>
      <c r="R16" s="13">
        <f>-1*Premissas!$B$9</f>
        <v/>
      </c>
      <c r="S16" s="14">
        <f>-1*Premissas!$B$9</f>
        <v/>
      </c>
      <c r="T16" s="13">
        <f>-1*Premissas!$B$9</f>
        <v/>
      </c>
      <c r="U16" s="14">
        <f>-1*Premissas!$B$9</f>
        <v/>
      </c>
      <c r="V16" s="13">
        <f>-1*Premissas!$B$9</f>
        <v/>
      </c>
      <c r="W16" s="14">
        <f>-1*Premissas!$B$9</f>
        <v/>
      </c>
      <c r="X16" s="13">
        <f>-1*Premissas!$B$9</f>
        <v/>
      </c>
      <c r="Y16" s="14">
        <f>-1*Premissas!$B$9</f>
        <v/>
      </c>
    </row>
    <row r="17" ht="22" customHeight="1">
      <c r="A17" s="15" t="inlineStr">
        <is>
          <t>(=) EBITDA (R$)</t>
        </is>
      </c>
      <c r="B17" s="16">
        <f>B12+SUM(B13:B16)</f>
        <v/>
      </c>
      <c r="C17" s="16">
        <f>C12+SUM(C13:C16)</f>
        <v/>
      </c>
      <c r="D17" s="16">
        <f>D12+SUM(D13:D16)</f>
        <v/>
      </c>
      <c r="E17" s="16">
        <f>E12+SUM(E13:E16)</f>
        <v/>
      </c>
      <c r="F17" s="16">
        <f>F12+SUM(F13:F16)</f>
        <v/>
      </c>
      <c r="G17" s="16">
        <f>G12+SUM(G13:G16)</f>
        <v/>
      </c>
      <c r="H17" s="16">
        <f>H12+SUM(H13:H16)</f>
        <v/>
      </c>
      <c r="I17" s="16">
        <f>I12+SUM(I13:I16)</f>
        <v/>
      </c>
      <c r="J17" s="16">
        <f>J12+SUM(J13:J16)</f>
        <v/>
      </c>
      <c r="K17" s="16">
        <f>K12+SUM(K13:K16)</f>
        <v/>
      </c>
      <c r="L17" s="16">
        <f>L12+SUM(L13:L16)</f>
        <v/>
      </c>
      <c r="M17" s="16">
        <f>M12+SUM(M13:M16)</f>
        <v/>
      </c>
      <c r="N17" s="16">
        <f>N12+SUM(N13:N16)</f>
        <v/>
      </c>
      <c r="O17" s="16">
        <f>O12+SUM(O13:O16)</f>
        <v/>
      </c>
      <c r="P17" s="16">
        <f>P12+SUM(P13:P16)</f>
        <v/>
      </c>
      <c r="Q17" s="16">
        <f>Q12+SUM(Q13:Q16)</f>
        <v/>
      </c>
      <c r="R17" s="16">
        <f>R12+SUM(R13:R16)</f>
        <v/>
      </c>
      <c r="S17" s="16">
        <f>S12+SUM(S13:S16)</f>
        <v/>
      </c>
      <c r="T17" s="16">
        <f>T12+SUM(T13:T16)</f>
        <v/>
      </c>
      <c r="U17" s="16">
        <f>U12+SUM(U13:U16)</f>
        <v/>
      </c>
      <c r="V17" s="16">
        <f>V12+SUM(V13:V16)</f>
        <v/>
      </c>
      <c r="W17" s="16">
        <f>W12+SUM(W13:W16)</f>
        <v/>
      </c>
      <c r="X17" s="16">
        <f>X12+SUM(X13:X16)</f>
        <v/>
      </c>
      <c r="Y17" s="16">
        <f>Y12+SUM(Y13:Y16)</f>
        <v/>
      </c>
    </row>
    <row r="18" ht="22" customHeight="1">
      <c r="A18" s="15" t="inlineStr">
        <is>
          <t>(=) Margem EBITDA (%)</t>
        </is>
      </c>
      <c r="B18" s="17">
        <f>B17/B12</f>
        <v/>
      </c>
      <c r="C18" s="17">
        <f>C17/C12</f>
        <v/>
      </c>
      <c r="D18" s="17">
        <f>D17/D12</f>
        <v/>
      </c>
      <c r="E18" s="17">
        <f>E17/E12</f>
        <v/>
      </c>
      <c r="F18" s="17">
        <f>F17/F12</f>
        <v/>
      </c>
      <c r="G18" s="17">
        <f>G17/G12</f>
        <v/>
      </c>
      <c r="H18" s="17">
        <f>H17/H12</f>
        <v/>
      </c>
      <c r="I18" s="17">
        <f>I17/I12</f>
        <v/>
      </c>
      <c r="J18" s="17">
        <f>J17/J12</f>
        <v/>
      </c>
      <c r="K18" s="17">
        <f>K17/K12</f>
        <v/>
      </c>
      <c r="L18" s="17">
        <f>L17/L12</f>
        <v/>
      </c>
      <c r="M18" s="17">
        <f>M17/M12</f>
        <v/>
      </c>
      <c r="N18" s="17">
        <f>N17/N12</f>
        <v/>
      </c>
      <c r="O18" s="17">
        <f>O17/O12</f>
        <v/>
      </c>
      <c r="P18" s="17">
        <f>P17/P12</f>
        <v/>
      </c>
      <c r="Q18" s="17">
        <f>Q17/Q12</f>
        <v/>
      </c>
      <c r="R18" s="17">
        <f>R17/R12</f>
        <v/>
      </c>
      <c r="S18" s="17">
        <f>S17/S12</f>
        <v/>
      </c>
      <c r="T18" s="17">
        <f>T17/T12</f>
        <v/>
      </c>
      <c r="U18" s="17">
        <f>U17/U12</f>
        <v/>
      </c>
      <c r="V18" s="17">
        <f>V17/V12</f>
        <v/>
      </c>
      <c r="W18" s="17">
        <f>W17/W12</f>
        <v/>
      </c>
      <c r="X18" s="17">
        <f>X17/X12</f>
        <v/>
      </c>
      <c r="Y18" s="17">
        <f>Y17/Y12</f>
        <v/>
      </c>
    </row>
    <row r="19" ht="22" customHeight="1">
      <c r="A19" s="4" t="inlineStr">
        <is>
          <t>(-) Impostos (IRPJ/CSLL) (R$)</t>
        </is>
      </c>
      <c r="B19" s="13">
        <f>IF(B17&gt;0,-B17*0.15,0)</f>
        <v/>
      </c>
      <c r="C19" s="14">
        <f>IF(C17&gt;0,-C17*0.15,0)</f>
        <v/>
      </c>
      <c r="D19" s="13">
        <f>IF(D17&gt;0,-D17*0.15,0)</f>
        <v/>
      </c>
      <c r="E19" s="14">
        <f>IF(E17&gt;0,-E17*0.15,0)</f>
        <v/>
      </c>
      <c r="F19" s="13">
        <f>IF(F17&gt;0,-F17*0.15,0)</f>
        <v/>
      </c>
      <c r="G19" s="14">
        <f>IF(G17&gt;0,-G17*0.15,0)</f>
        <v/>
      </c>
      <c r="H19" s="13">
        <f>IF(H17&gt;0,-H17*0.15,0)</f>
        <v/>
      </c>
      <c r="I19" s="14">
        <f>IF(I17&gt;0,-I17*0.15,0)</f>
        <v/>
      </c>
      <c r="J19" s="13">
        <f>IF(J17&gt;0,-J17*0.15,0)</f>
        <v/>
      </c>
      <c r="K19" s="14">
        <f>IF(K17&gt;0,-K17*0.15,0)</f>
        <v/>
      </c>
      <c r="L19" s="13">
        <f>IF(L17&gt;0,-L17*0.15,0)</f>
        <v/>
      </c>
      <c r="M19" s="14">
        <f>IF(M17&gt;0,-M17*0.15,0)</f>
        <v/>
      </c>
      <c r="N19" s="13">
        <f>IF(N17&gt;0,-N17*0.15,0)</f>
        <v/>
      </c>
      <c r="O19" s="14">
        <f>IF(O17&gt;0,-O17*0.15,0)</f>
        <v/>
      </c>
      <c r="P19" s="13">
        <f>IF(P17&gt;0,-P17*0.15,0)</f>
        <v/>
      </c>
      <c r="Q19" s="14">
        <f>IF(Q17&gt;0,-Q17*0.15,0)</f>
        <v/>
      </c>
      <c r="R19" s="13">
        <f>IF(R17&gt;0,-R17*0.15,0)</f>
        <v/>
      </c>
      <c r="S19" s="14">
        <f>IF(S17&gt;0,-S17*0.15,0)</f>
        <v/>
      </c>
      <c r="T19" s="13">
        <f>IF(T17&gt;0,-T17*0.15,0)</f>
        <v/>
      </c>
      <c r="U19" s="14">
        <f>IF(U17&gt;0,-U17*0.15,0)</f>
        <v/>
      </c>
      <c r="V19" s="13">
        <f>IF(V17&gt;0,-V17*0.15,0)</f>
        <v/>
      </c>
      <c r="W19" s="14">
        <f>IF(W17&gt;0,-W17*0.15,0)</f>
        <v/>
      </c>
      <c r="X19" s="13">
        <f>IF(X17&gt;0,-X17*0.15,0)</f>
        <v/>
      </c>
      <c r="Y19" s="14">
        <f>IF(Y17&gt;0,-Y17*0.15,0)</f>
        <v/>
      </c>
    </row>
    <row r="20" ht="22" customHeight="1">
      <c r="A20" s="4" t="inlineStr">
        <is>
          <t>(+/-) Resultado Financeiro (R$)</t>
        </is>
      </c>
      <c r="B20" s="13" t="n">
        <v>0</v>
      </c>
      <c r="C20" s="14" t="n">
        <v>0</v>
      </c>
      <c r="D20" s="13" t="n">
        <v>0</v>
      </c>
      <c r="E20" s="14" t="n">
        <v>0</v>
      </c>
      <c r="F20" s="13" t="n">
        <v>0</v>
      </c>
      <c r="G20" s="14" t="n">
        <v>0</v>
      </c>
      <c r="H20" s="13" t="n">
        <v>0</v>
      </c>
      <c r="I20" s="14" t="n">
        <v>0</v>
      </c>
      <c r="J20" s="13" t="n">
        <v>0</v>
      </c>
      <c r="K20" s="14" t="n">
        <v>0</v>
      </c>
      <c r="L20" s="13" t="n">
        <v>0</v>
      </c>
      <c r="M20" s="14" t="n">
        <v>0</v>
      </c>
      <c r="N20" s="13" t="n">
        <v>0</v>
      </c>
      <c r="O20" s="14" t="n">
        <v>0</v>
      </c>
      <c r="P20" s="13" t="n">
        <v>0</v>
      </c>
      <c r="Q20" s="14" t="n">
        <v>0</v>
      </c>
      <c r="R20" s="13" t="n">
        <v>0</v>
      </c>
      <c r="S20" s="14" t="n">
        <v>0</v>
      </c>
      <c r="T20" s="13" t="n">
        <v>0</v>
      </c>
      <c r="U20" s="14" t="n">
        <v>0</v>
      </c>
      <c r="V20" s="13" t="n">
        <v>0</v>
      </c>
      <c r="W20" s="14" t="n">
        <v>0</v>
      </c>
      <c r="X20" s="13" t="n">
        <v>0</v>
      </c>
      <c r="Y20" s="14" t="n">
        <v>0</v>
      </c>
    </row>
    <row r="21" ht="22" customHeight="1">
      <c r="A21" s="18" t="inlineStr">
        <is>
          <t>(=) LUCRO LÍQUIDO (R$)</t>
        </is>
      </c>
      <c r="B21" s="19">
        <f>B17+B19+B20</f>
        <v/>
      </c>
      <c r="C21" s="19">
        <f>C17+C19+C20</f>
        <v/>
      </c>
      <c r="D21" s="19">
        <f>D17+D19+D20</f>
        <v/>
      </c>
      <c r="E21" s="19">
        <f>E17+E19+E20</f>
        <v/>
      </c>
      <c r="F21" s="19">
        <f>F17+F19+F20</f>
        <v/>
      </c>
      <c r="G21" s="19">
        <f>G17+G19+G20</f>
        <v/>
      </c>
      <c r="H21" s="19">
        <f>H17+H19+H20</f>
        <v/>
      </c>
      <c r="I21" s="19">
        <f>I17+I19+I20</f>
        <v/>
      </c>
      <c r="J21" s="19">
        <f>J17+J19+J20</f>
        <v/>
      </c>
      <c r="K21" s="19">
        <f>K17+K19+K20</f>
        <v/>
      </c>
      <c r="L21" s="19">
        <f>L17+L19+L20</f>
        <v/>
      </c>
      <c r="M21" s="19">
        <f>M17+M19+M20</f>
        <v/>
      </c>
      <c r="N21" s="19">
        <f>N17+N19+N20</f>
        <v/>
      </c>
      <c r="O21" s="19">
        <f>O17+O19+O20</f>
        <v/>
      </c>
      <c r="P21" s="19">
        <f>P17+P19+P20</f>
        <v/>
      </c>
      <c r="Q21" s="19">
        <f>Q17+Q19+Q20</f>
        <v/>
      </c>
      <c r="R21" s="19">
        <f>R17+R19+R20</f>
        <v/>
      </c>
      <c r="S21" s="19">
        <f>S17+S19+S20</f>
        <v/>
      </c>
      <c r="T21" s="19">
        <f>T17+T19+T20</f>
        <v/>
      </c>
      <c r="U21" s="19">
        <f>U17+U19+U20</f>
        <v/>
      </c>
      <c r="V21" s="19">
        <f>V17+V19+V20</f>
        <v/>
      </c>
      <c r="W21" s="19">
        <f>W17+W19+W20</f>
        <v/>
      </c>
      <c r="X21" s="19">
        <f>X17+X19+X20</f>
        <v/>
      </c>
      <c r="Y21" s="19">
        <f>Y17+Y19+Y20</f>
        <v/>
      </c>
    </row>
    <row r="22" ht="22" customHeight="1">
      <c r="A22" s="18" t="inlineStr">
        <is>
          <t>(=) Margem Líquida (%)</t>
        </is>
      </c>
      <c r="B22" s="20">
        <f>B21/B12</f>
        <v/>
      </c>
      <c r="C22" s="20">
        <f>C21/C12</f>
        <v/>
      </c>
      <c r="D22" s="20">
        <f>D21/D12</f>
        <v/>
      </c>
      <c r="E22" s="20">
        <f>E21/E12</f>
        <v/>
      </c>
      <c r="F22" s="20">
        <f>F21/F12</f>
        <v/>
      </c>
      <c r="G22" s="20">
        <f>G21/G12</f>
        <v/>
      </c>
      <c r="H22" s="20">
        <f>H21/H12</f>
        <v/>
      </c>
      <c r="I22" s="20">
        <f>I21/I12</f>
        <v/>
      </c>
      <c r="J22" s="20">
        <f>J21/J12</f>
        <v/>
      </c>
      <c r="K22" s="20">
        <f>K21/K12</f>
        <v/>
      </c>
      <c r="L22" s="20">
        <f>L21/L12</f>
        <v/>
      </c>
      <c r="M22" s="20">
        <f>M21/M12</f>
        <v/>
      </c>
      <c r="N22" s="20">
        <f>N21/N12</f>
        <v/>
      </c>
      <c r="O22" s="20">
        <f>O21/O12</f>
        <v/>
      </c>
      <c r="P22" s="20">
        <f>P21/P12</f>
        <v/>
      </c>
      <c r="Q22" s="20">
        <f>Q21/Q12</f>
        <v/>
      </c>
      <c r="R22" s="20">
        <f>R21/R12</f>
        <v/>
      </c>
      <c r="S22" s="20">
        <f>S21/S12</f>
        <v/>
      </c>
      <c r="T22" s="20">
        <f>T21/T12</f>
        <v/>
      </c>
      <c r="U22" s="20">
        <f>U21/U12</f>
        <v/>
      </c>
      <c r="V22" s="20">
        <f>V21/V12</f>
        <v/>
      </c>
      <c r="W22" s="20">
        <f>W21/W12</f>
        <v/>
      </c>
      <c r="X22" s="20">
        <f>X21/X12</f>
        <v/>
      </c>
      <c r="Y22" s="20">
        <f>Y21/Y12</f>
        <v/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 ht="22" customHeight="1">
      <c r="A24" s="21" t="inlineStr">
        <is>
          <t>ANÁLISE DE FLUXO DE CAIXA</t>
        </is>
      </c>
      <c r="B24" s="22" t="inlineStr"/>
      <c r="C24" s="22" t="inlineStr"/>
      <c r="D24" s="22" t="inlineStr"/>
      <c r="E24" s="22" t="inlineStr"/>
      <c r="F24" s="22" t="inlineStr"/>
      <c r="G24" s="22" t="inlineStr"/>
      <c r="H24" s="22" t="inlineStr"/>
      <c r="I24" s="22" t="inlineStr"/>
      <c r="J24" s="22" t="inlineStr"/>
      <c r="K24" s="22" t="inlineStr"/>
      <c r="L24" s="22" t="inlineStr"/>
      <c r="M24" s="22" t="inlineStr"/>
      <c r="N24" s="22" t="inlineStr"/>
      <c r="O24" s="22" t="inlineStr"/>
      <c r="P24" s="22" t="inlineStr"/>
      <c r="Q24" s="22" t="inlineStr"/>
      <c r="R24" s="22" t="inlineStr"/>
      <c r="S24" s="22" t="inlineStr"/>
      <c r="T24" s="22" t="inlineStr"/>
      <c r="U24" s="22" t="inlineStr"/>
      <c r="V24" s="22" t="inlineStr"/>
      <c r="W24" s="22" t="inlineStr"/>
      <c r="X24" s="22" t="inlineStr"/>
      <c r="Y24" s="22" t="inlineStr"/>
    </row>
    <row r="25" ht="22" customHeight="1">
      <c r="A25" s="4" t="inlineStr">
        <is>
          <t>(+) Investimento Inicial / Aporte (R$)</t>
        </is>
      </c>
      <c r="B25" s="13" t="n">
        <v>12000</v>
      </c>
      <c r="C25" s="13" t="n">
        <v>0</v>
      </c>
      <c r="D25" s="13" t="n">
        <v>0</v>
      </c>
      <c r="E25" s="13" t="n">
        <v>0</v>
      </c>
      <c r="F25" s="13" t="n">
        <v>0</v>
      </c>
      <c r="G25" s="13" t="n">
        <v>0</v>
      </c>
      <c r="H25" s="13" t="n">
        <v>0</v>
      </c>
      <c r="I25" s="13" t="n">
        <v>0</v>
      </c>
      <c r="J25" s="13" t="n">
        <v>0</v>
      </c>
      <c r="K25" s="13" t="n">
        <v>0</v>
      </c>
      <c r="L25" s="13" t="n">
        <v>0</v>
      </c>
      <c r="M25" s="13" t="n">
        <v>0</v>
      </c>
      <c r="N25" s="13" t="n">
        <v>0</v>
      </c>
      <c r="O25" s="13" t="n">
        <v>0</v>
      </c>
      <c r="P25" s="13" t="n">
        <v>0</v>
      </c>
      <c r="Q25" s="13" t="n">
        <v>0</v>
      </c>
      <c r="R25" s="13" t="n">
        <v>0</v>
      </c>
      <c r="S25" s="13" t="n">
        <v>0</v>
      </c>
      <c r="T25" s="13" t="n">
        <v>0</v>
      </c>
      <c r="U25" s="13" t="n">
        <v>0</v>
      </c>
      <c r="V25" s="13" t="n">
        <v>0</v>
      </c>
      <c r="W25" s="13" t="n">
        <v>0</v>
      </c>
      <c r="X25" s="13" t="n">
        <v>0</v>
      </c>
      <c r="Y25" s="13" t="n">
        <v>0</v>
      </c>
    </row>
    <row r="26" ht="22" customHeight="1">
      <c r="A26" s="4" t="inlineStr">
        <is>
          <t>(+) Fluxo de Caixa Mensal (R$)</t>
        </is>
      </c>
      <c r="B26" s="16">
        <f>B21</f>
        <v/>
      </c>
      <c r="C26" s="16">
        <f>C21</f>
        <v/>
      </c>
      <c r="D26" s="16">
        <f>D21</f>
        <v/>
      </c>
      <c r="E26" s="16">
        <f>E21</f>
        <v/>
      </c>
      <c r="F26" s="16">
        <f>F21</f>
        <v/>
      </c>
      <c r="G26" s="16">
        <f>G21</f>
        <v/>
      </c>
      <c r="H26" s="16">
        <f>H21</f>
        <v/>
      </c>
      <c r="I26" s="16">
        <f>I21</f>
        <v/>
      </c>
      <c r="J26" s="16">
        <f>J21</f>
        <v/>
      </c>
      <c r="K26" s="16">
        <f>K21</f>
        <v/>
      </c>
      <c r="L26" s="16">
        <f>L21</f>
        <v/>
      </c>
      <c r="M26" s="16">
        <f>M21</f>
        <v/>
      </c>
      <c r="N26" s="16">
        <f>N21</f>
        <v/>
      </c>
      <c r="O26" s="16">
        <f>O21</f>
        <v/>
      </c>
      <c r="P26" s="16">
        <f>P21</f>
        <v/>
      </c>
      <c r="Q26" s="16">
        <f>Q21</f>
        <v/>
      </c>
      <c r="R26" s="16">
        <f>R21</f>
        <v/>
      </c>
      <c r="S26" s="16">
        <f>S21</f>
        <v/>
      </c>
      <c r="T26" s="16">
        <f>T21</f>
        <v/>
      </c>
      <c r="U26" s="16">
        <f>U21</f>
        <v/>
      </c>
      <c r="V26" s="16">
        <f>V21</f>
        <v/>
      </c>
      <c r="W26" s="16">
        <f>W21</f>
        <v/>
      </c>
      <c r="X26" s="16">
        <f>X21</f>
        <v/>
      </c>
      <c r="Y26" s="16">
        <f>Y21</f>
        <v/>
      </c>
    </row>
    <row r="27" ht="22" customHeight="1">
      <c r="A27" s="18" t="inlineStr">
        <is>
          <t>(=) Saldo de Caixa Acumulado (R$)</t>
        </is>
      </c>
      <c r="B27" s="23">
        <f>B25+B26</f>
        <v/>
      </c>
      <c r="C27" s="23">
        <f>B27+C25+C26</f>
        <v/>
      </c>
      <c r="D27" s="23">
        <f>C27+D25+D26</f>
        <v/>
      </c>
      <c r="E27" s="23">
        <f>D27+E25+E26</f>
        <v/>
      </c>
      <c r="F27" s="23">
        <f>E27+F25+F26</f>
        <v/>
      </c>
      <c r="G27" s="23">
        <f>F27+G25+G26</f>
        <v/>
      </c>
      <c r="H27" s="23">
        <f>G27+H25+H26</f>
        <v/>
      </c>
      <c r="I27" s="23">
        <f>H27+I25+I26</f>
        <v/>
      </c>
      <c r="J27" s="23">
        <f>I27+J25+J26</f>
        <v/>
      </c>
      <c r="K27" s="23">
        <f>J27+K25+K26</f>
        <v/>
      </c>
      <c r="L27" s="23">
        <f>K27+L25+L26</f>
        <v/>
      </c>
      <c r="M27" s="23">
        <f>L27+M25+M26</f>
        <v/>
      </c>
      <c r="N27" s="23">
        <f>M27+N25+N26</f>
        <v/>
      </c>
      <c r="O27" s="23">
        <f>N27+O25+O26</f>
        <v/>
      </c>
      <c r="P27" s="23">
        <f>O27+P25+P26</f>
        <v/>
      </c>
      <c r="Q27" s="23">
        <f>P27+Q25+Q26</f>
        <v/>
      </c>
      <c r="R27" s="23">
        <f>Q27+R25+R26</f>
        <v/>
      </c>
      <c r="S27" s="23">
        <f>R27+S25+S26</f>
        <v/>
      </c>
      <c r="T27" s="23">
        <f>S27+T25+T26</f>
        <v/>
      </c>
      <c r="U27" s="23">
        <f>T27+U25+U26</f>
        <v/>
      </c>
      <c r="V27" s="23">
        <f>U27+V25+V26</f>
        <v/>
      </c>
      <c r="W27" s="23">
        <f>V27+W25+W26</f>
        <v/>
      </c>
      <c r="X27" s="23">
        <f>W27+X25+X26</f>
        <v/>
      </c>
      <c r="Y27" s="23">
        <f>X27+Y25+Y26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65" customWidth="1" min="3" max="3"/>
  </cols>
  <sheetData>
    <row r="1" ht="35" customHeight="1">
      <c r="A1" s="1" t="inlineStr">
        <is>
          <t>Análise de Viabilidade Financeira (Métricas Avançadas)</t>
        </is>
      </c>
    </row>
    <row r="3" ht="25" customHeight="1">
      <c r="A3" s="2" t="inlineStr">
        <is>
          <t>Métrica Financeira</t>
        </is>
      </c>
      <c r="B3" s="3" t="inlineStr">
        <is>
          <t>Resultado</t>
        </is>
      </c>
      <c r="C3" s="2" t="inlineStr">
        <is>
          <t>Critério de Aceitação / Status</t>
        </is>
      </c>
    </row>
    <row r="4" ht="22" customHeight="1">
      <c r="A4" s="4" t="inlineStr">
        <is>
          <t>Taxa Mínima de Atratividade (TMA Mensal)</t>
        </is>
      </c>
      <c r="B4" s="24" t="n">
        <v>0.01</v>
      </c>
      <c r="C4" s="4" t="inlineStr">
        <is>
          <t>Taxa de desconto referencial de mercado (~1.0% am)</t>
        </is>
      </c>
    </row>
    <row r="5" ht="22" customHeight="1">
      <c r="A5" s="25" t="inlineStr">
        <is>
          <t>Valor Presente Líquido (VPL)</t>
        </is>
      </c>
      <c r="B5" s="26">
        <f>VPL(B4, 'Planejamento Financeiro'!B26:Y26) - 12000</f>
        <v/>
      </c>
      <c r="C5" s="4" t="inlineStr">
        <is>
          <t>Se for &gt; 0, o projeto compensa o investimento inicial e gera riqueza extra</t>
        </is>
      </c>
    </row>
    <row r="6" ht="22" customHeight="1">
      <c r="A6" s="25" t="inlineStr">
        <is>
          <t>Taxa Interna de Retorno (TIR Mensal)</t>
        </is>
      </c>
      <c r="B6" s="27">
        <f>IRR('Planejamento Financeiro'!B26:Y26)</f>
        <v/>
      </c>
      <c r="C6" s="4" t="inlineStr">
        <is>
          <t>Rentabilidade interna do projeto. Deve ser maior que a TMA</t>
        </is>
      </c>
    </row>
    <row r="7" ht="22" customHeight="1">
      <c r="A7" s="25" t="inlineStr">
        <is>
          <t>Taxa Interna de Retorno (TIR Anualizada)</t>
        </is>
      </c>
      <c r="B7" s="27">
        <f>(1+B6)^12-1</f>
        <v/>
      </c>
      <c r="C7" s="4" t="inlineStr">
        <is>
          <t>TIR convertida para base anual para fins de comparação com a taxa Selic/CDI</t>
        </is>
      </c>
    </row>
    <row r="8" ht="22" customHeight="1">
      <c r="A8" s="4" t="inlineStr">
        <is>
          <t>Ponto de Equilíbrio Operacional (Break-Even)</t>
        </is>
      </c>
      <c r="B8" s="28" t="inlineStr">
        <is>
          <t>Mês 15</t>
        </is>
      </c>
      <c r="C8" s="4" t="inlineStr">
        <is>
          <t>Mês em que as receitas recorrentes superam os custos mensais pela primeira vez</t>
        </is>
      </c>
    </row>
    <row r="9" ht="22" customHeight="1">
      <c r="A9" s="25" t="inlineStr">
        <is>
          <t>Payback Simples (Retorno do Investimento)</t>
        </is>
      </c>
      <c r="B9" s="28" t="inlineStr">
        <is>
          <t>Mês 16</t>
        </is>
      </c>
      <c r="C9" s="4" t="inlineStr">
        <is>
          <t>Mês em que o saldo acumulado de caixa cobre o aporte inicial reduzido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2026-06-10T23:35:45Z</dcterms:created>
  <dcterms:modified xmlns:dcterms="http://purl.org/dc/terms/" xmlns:xsi="http://www.w3.org/2001/XMLSchema-instance" xsi:type="dcterms:W3CDTF">2026-06-10T23:35:45Z</dcterms:modified>
</cp:coreProperties>
</file>